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eah Mejeco\Desktop\Alleah Mejeco\Alleah Mejeco\"/>
    </mc:Choice>
  </mc:AlternateContent>
  <xr:revisionPtr revIDLastSave="0" documentId="13_ncr:1_{A818528A-2FC5-4BA2-8730-4D979853DED3}" xr6:coauthVersionLast="47" xr6:coauthVersionMax="47" xr10:uidLastSave="{00000000-0000-0000-0000-000000000000}"/>
  <bookViews>
    <workbookView xWindow="-120" yWindow="-120" windowWidth="20730" windowHeight="11040" xr2:uid="{85B14E27-198C-4F8C-A2AE-11D95275C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F6" i="1"/>
  <c r="F7" i="1"/>
  <c r="F8" i="1"/>
  <c r="F9" i="1"/>
  <c r="F10" i="1"/>
  <c r="F11" i="1"/>
  <c r="G11" i="1" s="1"/>
  <c r="L11" i="1" s="1"/>
  <c r="H11" i="1" s="1"/>
  <c r="F12" i="1"/>
  <c r="F13" i="1"/>
  <c r="F14" i="1"/>
  <c r="G14" i="1" s="1"/>
  <c r="F15" i="1"/>
  <c r="G15" i="1" s="1"/>
  <c r="L15" i="1" s="1"/>
  <c r="H15" i="1" s="1"/>
  <c r="G6" i="1"/>
  <c r="L6" i="1" s="1"/>
  <c r="H6" i="1" s="1"/>
  <c r="E6" i="1"/>
  <c r="L7" i="1"/>
  <c r="H7" i="1" s="1"/>
  <c r="L12" i="1"/>
  <c r="I12" i="1" s="1"/>
  <c r="G8" i="1"/>
  <c r="G10" i="1"/>
  <c r="G12" i="1"/>
  <c r="G7" i="1"/>
  <c r="G9" i="1"/>
  <c r="L9" i="1" s="1"/>
  <c r="J9" i="1" s="1"/>
  <c r="G13" i="1"/>
  <c r="L8" i="1" l="1"/>
  <c r="I8" i="1" s="1"/>
  <c r="L13" i="1"/>
  <c r="J13" i="1" s="1"/>
  <c r="L14" i="1"/>
  <c r="H14" i="1" s="1"/>
  <c r="L10" i="1"/>
  <c r="H10" i="1" s="1"/>
  <c r="J12" i="1"/>
  <c r="J8" i="1"/>
  <c r="I6" i="1"/>
  <c r="J6" i="1"/>
  <c r="I7" i="1"/>
  <c r="H13" i="1"/>
  <c r="H9" i="1"/>
  <c r="I14" i="1"/>
  <c r="J11" i="1"/>
  <c r="J7" i="1"/>
  <c r="I15" i="1"/>
  <c r="K15" i="1" s="1"/>
  <c r="M15" i="1" s="1"/>
  <c r="H12" i="1"/>
  <c r="K12" i="1" s="1"/>
  <c r="M12" i="1" s="1"/>
  <c r="H8" i="1"/>
  <c r="K8" i="1" s="1"/>
  <c r="M8" i="1" s="1"/>
  <c r="I13" i="1"/>
  <c r="I9" i="1"/>
  <c r="J15" i="1"/>
  <c r="I11" i="1"/>
  <c r="J10" i="1" l="1"/>
  <c r="J14" i="1"/>
  <c r="I10" i="1"/>
  <c r="K10" i="1" s="1"/>
  <c r="M10" i="1" s="1"/>
  <c r="K6" i="1"/>
  <c r="M6" i="1" s="1"/>
  <c r="K11" i="1"/>
  <c r="M11" i="1" s="1"/>
  <c r="K7" i="1"/>
  <c r="M7" i="1" s="1"/>
  <c r="K14" i="1"/>
  <c r="M14" i="1" s="1"/>
  <c r="K9" i="1"/>
  <c r="M9" i="1" s="1"/>
  <c r="K13" i="1"/>
  <c r="M13" i="1" s="1"/>
</calcChain>
</file>

<file path=xl/sharedStrings.xml><?xml version="1.0" encoding="utf-8"?>
<sst xmlns="http://schemas.openxmlformats.org/spreadsheetml/2006/main" count="51" uniqueCount="48">
  <si>
    <t>Employee</t>
  </si>
  <si>
    <t>NO.</t>
  </si>
  <si>
    <t xml:space="preserve">SSS </t>
  </si>
  <si>
    <t>Payroll Sample Report</t>
  </si>
  <si>
    <t xml:space="preserve">Employee </t>
  </si>
  <si>
    <t>Name</t>
  </si>
  <si>
    <t xml:space="preserve">No. of Hrs. </t>
  </si>
  <si>
    <t>Work</t>
  </si>
  <si>
    <t xml:space="preserve">Rate </t>
  </si>
  <si>
    <t>per hour</t>
  </si>
  <si>
    <t xml:space="preserve">Regular </t>
  </si>
  <si>
    <t>Pay</t>
  </si>
  <si>
    <t>No. Of Hrs.</t>
  </si>
  <si>
    <t xml:space="preserve"> Overtime</t>
  </si>
  <si>
    <t>Overtime</t>
  </si>
  <si>
    <t>MED.</t>
  </si>
  <si>
    <t>TAX</t>
  </si>
  <si>
    <t>Deduction</t>
  </si>
  <si>
    <t>Gross</t>
  </si>
  <si>
    <t>Net</t>
  </si>
  <si>
    <t>DOMER</t>
  </si>
  <si>
    <t>RISA</t>
  </si>
  <si>
    <t>ZOILO</t>
  </si>
  <si>
    <t>MAY</t>
  </si>
  <si>
    <t>IRISH</t>
  </si>
  <si>
    <t>Enter the number of work hours</t>
  </si>
  <si>
    <t>Rate per hour is 65</t>
  </si>
  <si>
    <t>Regular pay is equal number of hours work times rater per hour</t>
  </si>
  <si>
    <t>No. of hours overtime less than minimum rate</t>
  </si>
  <si>
    <t>MED is equal Gross Pay times 10%</t>
  </si>
  <si>
    <t>TAX is equal Gross Pay times 8%</t>
  </si>
  <si>
    <t xml:space="preserve">Deduction is equal to SSS + MED + TAX </t>
  </si>
  <si>
    <t>Gross Pay is equal to regular pay  + Overtime Pay</t>
  </si>
  <si>
    <t>Airways Philippines</t>
  </si>
  <si>
    <t>ATHENA</t>
  </si>
  <si>
    <t>BRENT</t>
  </si>
  <si>
    <t>ALLEAH</t>
  </si>
  <si>
    <t>REIN</t>
  </si>
  <si>
    <t>LIEN</t>
  </si>
  <si>
    <t xml:space="preserve">Encode the table with data </t>
  </si>
  <si>
    <t>Overtime pay is equal Number of Hours Overtime Hours Times 120</t>
  </si>
  <si>
    <t>Lesson # 5</t>
  </si>
  <si>
    <t>SSS is equal Gross Pay times fiver%</t>
  </si>
  <si>
    <t>Net Pay is equal to Gross Pay - Deduction</t>
  </si>
  <si>
    <t xml:space="preserve">Page Layout, Orientation, Landscape, </t>
  </si>
  <si>
    <t>Paper Size Legal</t>
  </si>
  <si>
    <t>Save your work Lesson 5 as a Filename</t>
  </si>
  <si>
    <t>Number of hours work is 160 minimum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</si>
</sst>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 applyFont="0" applyAlignment="0">
      <alignment horizontal="center"/>
    </xf>
    <xf numFmtId="0" fontId="1" fillId="0" borderId="0"/>
    <xf numFmtId="0" fontId="2" fillId="0" borderId="0" applyFont="0" applyBorder="0" applyAlignment="0">
      <alignment horizontal="center"/>
    </xf>
    <xf numFmtId="0" fontId="1" fillId="0" borderId="1"/>
  </cellStyleXfs>
  <cellXfs count="8">
    <xf numFmtId="0" fontId="0" fillId="0" borderId="0" xfId="0"/>
    <xf numFmtId="0" fontId="1" fillId="0" borderId="0" xfId="2"/>
    <xf numFmtId="0" fontId="1" fillId="0" borderId="1" xfId="2" applyBorder="1"/>
    <xf numFmtId="0" fontId="2" fillId="0" borderId="1" xfId="2" applyFont="1" applyBorder="1" applyAlignment="1">
      <alignment horizontal="center"/>
    </xf>
    <xf numFmtId="9" fontId="2" fillId="0" borderId="1" xfId="2" applyNumberFormat="1" applyFont="1" applyBorder="1" applyAlignment="1">
      <alignment horizontal="center"/>
    </xf>
    <xf numFmtId="0" fontId="1" fillId="0" borderId="1" xfId="2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</cellXfs>
  <cellStyles count="5">
    <cellStyle name="Normal" xfId="0" builtinId="0"/>
    <cellStyle name="Style 1" xfId="1" xr:uid="{2E8771A0-DD7E-480C-B104-E4AF7F3C888B}"/>
    <cellStyle name="Style 2" xfId="2" xr:uid="{CC4C9B9F-79A0-42A0-A4FC-4A51F586E2E1}"/>
    <cellStyle name="Style 3" xfId="3" xr:uid="{764824B9-4D58-41C3-8908-12F04B38071B}"/>
    <cellStyle name="Style 4" xfId="4" xr:uid="{784FFF95-3028-4D37-BFC1-DA0A87D066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9B875-07F3-4B33-AA59-BCFBD745C10E}">
  <dimension ref="A1:O33"/>
  <sheetViews>
    <sheetView tabSelected="1" zoomScale="93" workbookViewId="0">
      <selection activeCell="M6" sqref="M6"/>
    </sheetView>
  </sheetViews>
  <sheetFormatPr defaultRowHeight="15" x14ac:dyDescent="0.25"/>
  <cols>
    <col min="1" max="1" width="10.5703125" customWidth="1"/>
    <col min="2" max="2" width="10.85546875" customWidth="1"/>
    <col min="3" max="3" width="11" bestFit="1" customWidth="1"/>
    <col min="4" max="4" width="9.42578125" customWidth="1"/>
    <col min="5" max="5" width="10.28515625" customWidth="1"/>
    <col min="6" max="6" width="11.85546875" customWidth="1"/>
    <col min="7" max="7" width="9.85546875" customWidth="1"/>
    <col min="11" max="11" width="11.140625" customWidth="1"/>
  </cols>
  <sheetData>
    <row r="1" spans="1:15" x14ac:dyDescent="0.25">
      <c r="A1" s="7" t="s">
        <v>33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5" x14ac:dyDescent="0.25">
      <c r="A2" s="7" t="s">
        <v>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5" x14ac:dyDescent="0.25">
      <c r="A3" s="3" t="s">
        <v>0</v>
      </c>
      <c r="B3" s="3" t="s">
        <v>4</v>
      </c>
      <c r="C3" s="3" t="s">
        <v>6</v>
      </c>
      <c r="D3" s="3" t="s">
        <v>8</v>
      </c>
      <c r="E3" s="3" t="s">
        <v>10</v>
      </c>
      <c r="F3" s="3" t="s">
        <v>12</v>
      </c>
      <c r="G3" s="3" t="s">
        <v>14</v>
      </c>
      <c r="H3" s="3" t="s">
        <v>2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</row>
    <row r="4" spans="1:15" x14ac:dyDescent="0.25">
      <c r="A4" s="3" t="s">
        <v>1</v>
      </c>
      <c r="B4" s="3" t="s">
        <v>5</v>
      </c>
      <c r="C4" s="3" t="s">
        <v>7</v>
      </c>
      <c r="D4" s="3" t="s">
        <v>9</v>
      </c>
      <c r="E4" s="3" t="s">
        <v>11</v>
      </c>
      <c r="F4" s="3" t="s">
        <v>13</v>
      </c>
      <c r="G4" s="3" t="s">
        <v>11</v>
      </c>
      <c r="H4" s="4">
        <v>0.05</v>
      </c>
      <c r="I4" s="4">
        <v>0.1</v>
      </c>
      <c r="J4" s="4">
        <v>0.08</v>
      </c>
      <c r="K4" s="3"/>
      <c r="L4" s="3" t="s">
        <v>11</v>
      </c>
      <c r="M4" s="3" t="s">
        <v>11</v>
      </c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5" x14ac:dyDescent="0.25">
      <c r="A6" s="5">
        <v>1</v>
      </c>
      <c r="B6" s="2" t="s">
        <v>20</v>
      </c>
      <c r="C6" s="5">
        <v>160</v>
      </c>
      <c r="D6" s="5">
        <v>65</v>
      </c>
      <c r="E6" s="2">
        <f>C6*D6</f>
        <v>10400</v>
      </c>
      <c r="F6" s="2">
        <f>C6-160</f>
        <v>0</v>
      </c>
      <c r="G6" s="2">
        <f>F6*120</f>
        <v>0</v>
      </c>
      <c r="H6" s="2">
        <f>L6*0.05</f>
        <v>520</v>
      </c>
      <c r="I6" s="2">
        <f>L6*0.1</f>
        <v>1040</v>
      </c>
      <c r="J6" s="6">
        <f>L6*0.08</f>
        <v>832</v>
      </c>
      <c r="K6" s="2">
        <f>H6+I6+J6</f>
        <v>2392</v>
      </c>
      <c r="L6" s="2">
        <f>E6+G6</f>
        <v>10400</v>
      </c>
      <c r="M6" s="2">
        <f>L6-K6</f>
        <v>8008</v>
      </c>
    </row>
    <row r="7" spans="1:15" x14ac:dyDescent="0.25">
      <c r="A7" s="5">
        <v>2</v>
      </c>
      <c r="B7" s="2" t="s">
        <v>21</v>
      </c>
      <c r="C7" s="5">
        <v>170</v>
      </c>
      <c r="D7" s="5">
        <v>65</v>
      </c>
      <c r="E7" s="2">
        <f t="shared" ref="E7:E15" si="0">C7*D7</f>
        <v>11050</v>
      </c>
      <c r="F7" s="2">
        <f t="shared" ref="F7:F15" si="1">C7-160</f>
        <v>10</v>
      </c>
      <c r="G7" s="2">
        <f t="shared" ref="G7:G15" si="2">F7*120</f>
        <v>1200</v>
      </c>
      <c r="H7" s="2">
        <f t="shared" ref="H7:H15" si="3">L7*0.05</f>
        <v>612.5</v>
      </c>
      <c r="I7" s="2">
        <f t="shared" ref="I7:I15" si="4">L7*0.1</f>
        <v>1225</v>
      </c>
      <c r="J7" s="6">
        <f t="shared" ref="J7:J14" si="5">L7*0.08</f>
        <v>980</v>
      </c>
      <c r="K7" s="2">
        <f t="shared" ref="K7:K15" si="6">H7+I7+J7</f>
        <v>2817.5</v>
      </c>
      <c r="L7" s="2">
        <f t="shared" ref="L7:L15" si="7">E7+G7</f>
        <v>12250</v>
      </c>
      <c r="M7" s="2">
        <f t="shared" ref="M7:M15" si="8">L7-K7</f>
        <v>9432.5</v>
      </c>
    </row>
    <row r="8" spans="1:15" x14ac:dyDescent="0.25">
      <c r="A8" s="5">
        <v>3</v>
      </c>
      <c r="B8" s="2" t="s">
        <v>22</v>
      </c>
      <c r="C8" s="5">
        <v>180</v>
      </c>
      <c r="D8" s="5">
        <v>65</v>
      </c>
      <c r="E8" s="2">
        <f t="shared" si="0"/>
        <v>11700</v>
      </c>
      <c r="F8" s="2">
        <f t="shared" si="1"/>
        <v>20</v>
      </c>
      <c r="G8" s="2">
        <f t="shared" si="2"/>
        <v>2400</v>
      </c>
      <c r="H8" s="2">
        <f t="shared" si="3"/>
        <v>705</v>
      </c>
      <c r="I8" s="2">
        <f t="shared" si="4"/>
        <v>1410</v>
      </c>
      <c r="J8" s="6">
        <f t="shared" si="5"/>
        <v>1128</v>
      </c>
      <c r="K8" s="2">
        <f t="shared" si="6"/>
        <v>3243</v>
      </c>
      <c r="L8" s="2">
        <f t="shared" si="7"/>
        <v>14100</v>
      </c>
      <c r="M8" s="2">
        <f t="shared" si="8"/>
        <v>10857</v>
      </c>
      <c r="O8" s="1"/>
    </row>
    <row r="9" spans="1:15" x14ac:dyDescent="0.25">
      <c r="A9" s="5">
        <v>4</v>
      </c>
      <c r="B9" s="2" t="s">
        <v>23</v>
      </c>
      <c r="C9" s="5">
        <v>190</v>
      </c>
      <c r="D9" s="5">
        <v>65</v>
      </c>
      <c r="E9" s="2">
        <f t="shared" si="0"/>
        <v>12350</v>
      </c>
      <c r="F9" s="2">
        <f t="shared" si="1"/>
        <v>30</v>
      </c>
      <c r="G9" s="2">
        <f t="shared" si="2"/>
        <v>3600</v>
      </c>
      <c r="H9" s="2">
        <f t="shared" si="3"/>
        <v>797.5</v>
      </c>
      <c r="I9" s="2">
        <f t="shared" si="4"/>
        <v>1595</v>
      </c>
      <c r="J9" s="6">
        <f t="shared" si="5"/>
        <v>1276</v>
      </c>
      <c r="K9" s="2">
        <f t="shared" si="6"/>
        <v>3668.5</v>
      </c>
      <c r="L9" s="2">
        <f t="shared" si="7"/>
        <v>15950</v>
      </c>
      <c r="M9" s="2">
        <f t="shared" si="8"/>
        <v>12281.5</v>
      </c>
    </row>
    <row r="10" spans="1:15" x14ac:dyDescent="0.25">
      <c r="A10" s="5">
        <v>5</v>
      </c>
      <c r="B10" s="2" t="s">
        <v>24</v>
      </c>
      <c r="C10" s="5">
        <v>200</v>
      </c>
      <c r="D10" s="5">
        <v>65</v>
      </c>
      <c r="E10" s="2">
        <f t="shared" si="0"/>
        <v>13000</v>
      </c>
      <c r="F10" s="2">
        <f t="shared" si="1"/>
        <v>40</v>
      </c>
      <c r="G10" s="2">
        <f t="shared" si="2"/>
        <v>4800</v>
      </c>
      <c r="H10" s="2">
        <f t="shared" si="3"/>
        <v>890</v>
      </c>
      <c r="I10" s="2">
        <f t="shared" si="4"/>
        <v>1780</v>
      </c>
      <c r="J10" s="6">
        <f t="shared" si="5"/>
        <v>1424</v>
      </c>
      <c r="K10" s="2">
        <f t="shared" si="6"/>
        <v>4094</v>
      </c>
      <c r="L10" s="2">
        <f t="shared" si="7"/>
        <v>17800</v>
      </c>
      <c r="M10" s="2">
        <f t="shared" si="8"/>
        <v>13706</v>
      </c>
    </row>
    <row r="11" spans="1:15" x14ac:dyDescent="0.25">
      <c r="A11" s="5">
        <v>6</v>
      </c>
      <c r="B11" s="2" t="s">
        <v>34</v>
      </c>
      <c r="C11" s="5">
        <v>120</v>
      </c>
      <c r="D11" s="5">
        <v>65</v>
      </c>
      <c r="E11" s="2">
        <f t="shared" si="0"/>
        <v>7800</v>
      </c>
      <c r="F11" s="2">
        <f t="shared" si="1"/>
        <v>-40</v>
      </c>
      <c r="G11" s="2">
        <f t="shared" si="2"/>
        <v>-4800</v>
      </c>
      <c r="H11" s="2">
        <f t="shared" si="3"/>
        <v>150</v>
      </c>
      <c r="I11" s="2">
        <f t="shared" si="4"/>
        <v>300</v>
      </c>
      <c r="J11" s="6">
        <f t="shared" si="5"/>
        <v>240</v>
      </c>
      <c r="K11" s="2">
        <f t="shared" si="6"/>
        <v>690</v>
      </c>
      <c r="L11" s="2">
        <f t="shared" si="7"/>
        <v>3000</v>
      </c>
      <c r="M11" s="2">
        <f t="shared" si="8"/>
        <v>2310</v>
      </c>
    </row>
    <row r="12" spans="1:15" x14ac:dyDescent="0.25">
      <c r="A12" s="5">
        <v>7</v>
      </c>
      <c r="B12" s="2" t="s">
        <v>35</v>
      </c>
      <c r="C12" s="5">
        <v>220</v>
      </c>
      <c r="D12" s="5">
        <v>65</v>
      </c>
      <c r="E12" s="2">
        <f t="shared" si="0"/>
        <v>14300</v>
      </c>
      <c r="F12" s="2">
        <f t="shared" si="1"/>
        <v>60</v>
      </c>
      <c r="G12" s="2">
        <f t="shared" si="2"/>
        <v>7200</v>
      </c>
      <c r="H12" s="2">
        <f t="shared" si="3"/>
        <v>1075</v>
      </c>
      <c r="I12" s="2">
        <f t="shared" si="4"/>
        <v>2150</v>
      </c>
      <c r="J12" s="6">
        <f t="shared" si="5"/>
        <v>1720</v>
      </c>
      <c r="K12" s="2">
        <f t="shared" si="6"/>
        <v>4945</v>
      </c>
      <c r="L12" s="2">
        <f t="shared" si="7"/>
        <v>21500</v>
      </c>
      <c r="M12" s="2">
        <f t="shared" si="8"/>
        <v>16555</v>
      </c>
    </row>
    <row r="13" spans="1:15" x14ac:dyDescent="0.25">
      <c r="A13" s="5">
        <v>8</v>
      </c>
      <c r="B13" s="2" t="s">
        <v>36</v>
      </c>
      <c r="C13" s="5">
        <v>165</v>
      </c>
      <c r="D13" s="5">
        <v>65</v>
      </c>
      <c r="E13" s="2">
        <f t="shared" si="0"/>
        <v>10725</v>
      </c>
      <c r="F13" s="2">
        <f t="shared" si="1"/>
        <v>5</v>
      </c>
      <c r="G13" s="2">
        <f t="shared" si="2"/>
        <v>600</v>
      </c>
      <c r="H13" s="2">
        <f t="shared" si="3"/>
        <v>566.25</v>
      </c>
      <c r="I13" s="2">
        <f t="shared" si="4"/>
        <v>1132.5</v>
      </c>
      <c r="J13" s="6">
        <f t="shared" si="5"/>
        <v>906</v>
      </c>
      <c r="K13" s="2">
        <f t="shared" si="6"/>
        <v>2604.75</v>
      </c>
      <c r="L13" s="2">
        <f t="shared" si="7"/>
        <v>11325</v>
      </c>
      <c r="M13" s="2">
        <f t="shared" si="8"/>
        <v>8720.25</v>
      </c>
    </row>
    <row r="14" spans="1:15" x14ac:dyDescent="0.25">
      <c r="A14" s="5">
        <v>9</v>
      </c>
      <c r="B14" s="2" t="s">
        <v>37</v>
      </c>
      <c r="C14" s="5">
        <v>175</v>
      </c>
      <c r="D14" s="5">
        <v>65</v>
      </c>
      <c r="E14" s="2">
        <f t="shared" si="0"/>
        <v>11375</v>
      </c>
      <c r="F14" s="2">
        <f t="shared" si="1"/>
        <v>15</v>
      </c>
      <c r="G14" s="2">
        <f t="shared" si="2"/>
        <v>1800</v>
      </c>
      <c r="H14" s="2">
        <f t="shared" si="3"/>
        <v>658.75</v>
      </c>
      <c r="I14" s="2">
        <f t="shared" si="4"/>
        <v>1317.5</v>
      </c>
      <c r="J14" s="6">
        <f t="shared" si="5"/>
        <v>1054</v>
      </c>
      <c r="K14" s="2">
        <f t="shared" si="6"/>
        <v>3030.25</v>
      </c>
      <c r="L14" s="2">
        <f t="shared" si="7"/>
        <v>13175</v>
      </c>
      <c r="M14" s="2">
        <f t="shared" si="8"/>
        <v>10144.75</v>
      </c>
    </row>
    <row r="15" spans="1:15" x14ac:dyDescent="0.25">
      <c r="A15" s="5">
        <v>10</v>
      </c>
      <c r="B15" s="2" t="s">
        <v>38</v>
      </c>
      <c r="C15" s="5">
        <v>185</v>
      </c>
      <c r="D15" s="5">
        <v>65</v>
      </c>
      <c r="E15" s="2">
        <f t="shared" si="0"/>
        <v>12025</v>
      </c>
      <c r="F15" s="2">
        <f t="shared" si="1"/>
        <v>25</v>
      </c>
      <c r="G15" s="2">
        <f t="shared" si="2"/>
        <v>3000</v>
      </c>
      <c r="H15" s="2">
        <f t="shared" si="3"/>
        <v>751.25</v>
      </c>
      <c r="I15" s="2">
        <f t="shared" si="4"/>
        <v>1502.5</v>
      </c>
      <c r="J15" s="6">
        <f>L15*0.08</f>
        <v>1202</v>
      </c>
      <c r="K15" s="2">
        <f t="shared" si="6"/>
        <v>3455.75</v>
      </c>
      <c r="L15" s="2">
        <f t="shared" si="7"/>
        <v>15025</v>
      </c>
      <c r="M15" s="2">
        <f t="shared" si="8"/>
        <v>11569.25</v>
      </c>
    </row>
    <row r="17" spans="1:1" x14ac:dyDescent="0.25">
      <c r="A17" t="s">
        <v>41</v>
      </c>
    </row>
    <row r="18" spans="1:1" x14ac:dyDescent="0.25">
      <c r="A18" t="s">
        <v>39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47</v>
      </c>
    </row>
    <row r="22" spans="1:1" x14ac:dyDescent="0.25">
      <c r="A22" t="s">
        <v>27</v>
      </c>
    </row>
    <row r="23" spans="1:1" x14ac:dyDescent="0.25">
      <c r="A23" t="s">
        <v>28</v>
      </c>
    </row>
    <row r="24" spans="1:1" x14ac:dyDescent="0.25">
      <c r="A24" t="s">
        <v>40</v>
      </c>
    </row>
    <row r="25" spans="1:1" x14ac:dyDescent="0.25">
      <c r="A25" t="s">
        <v>42</v>
      </c>
    </row>
    <row r="26" spans="1:1" x14ac:dyDescent="0.25">
      <c r="A26" t="s">
        <v>29</v>
      </c>
    </row>
    <row r="27" spans="1:1" x14ac:dyDescent="0.25">
      <c r="A27" t="s">
        <v>30</v>
      </c>
    </row>
    <row r="28" spans="1:1" x14ac:dyDescent="0.25">
      <c r="A28" t="s">
        <v>31</v>
      </c>
    </row>
    <row r="29" spans="1:1" x14ac:dyDescent="0.25">
      <c r="A29" t="s">
        <v>32</v>
      </c>
    </row>
    <row r="30" spans="1:1" x14ac:dyDescent="0.25">
      <c r="A30" t="s">
        <v>43</v>
      </c>
    </row>
    <row r="31" spans="1:1" x14ac:dyDescent="0.25">
      <c r="A31" t="s">
        <v>44</v>
      </c>
    </row>
    <row r="32" spans="1:1" x14ac:dyDescent="0.25">
      <c r="A32" t="s">
        <v>45</v>
      </c>
    </row>
    <row r="33" spans="1:1" x14ac:dyDescent="0.25">
      <c r="A33" t="s">
        <v>46</v>
      </c>
    </row>
  </sheetData>
  <mergeCells count="2">
    <mergeCell ref="A1:M1"/>
    <mergeCell ref="A2:M2"/>
  </mergeCells>
  <pageMargins left="0.7" right="0.7" top="0.75" bottom="0.75" header="0.3" footer="0.3"/>
  <pageSetup paperSize="5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Alleah Mejeco</dc:creator>
  <cp:lastModifiedBy>Alleah Mejeco</cp:lastModifiedBy>
  <cp:lastPrinted>2025-08-04T01:41:17Z</cp:lastPrinted>
  <dcterms:created xsi:type="dcterms:W3CDTF">2025-07-29T05:44:13Z</dcterms:created>
  <dcterms:modified xsi:type="dcterms:W3CDTF">2025-09-16T11:53:46Z</dcterms:modified>
</cp:coreProperties>
</file>