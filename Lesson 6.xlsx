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ah Mejeco\Desktop\Alleah Mejeco\Alleah Mejeco\"/>
    </mc:Choice>
  </mc:AlternateContent>
  <xr:revisionPtr revIDLastSave="0" documentId="13_ncr:1_{20312B89-75B6-4A49-A707-0E9A46529902}" xr6:coauthVersionLast="47" xr6:coauthVersionMax="47" xr10:uidLastSave="{00000000-0000-0000-0000-000000000000}"/>
  <bookViews>
    <workbookView xWindow="-120" yWindow="-120" windowWidth="20730" windowHeight="11040" xr2:uid="{B31C7088-EC03-4794-A752-59DF2DBC5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F20" i="1"/>
  <c r="G20" i="1"/>
  <c r="H20" i="1"/>
  <c r="I20" i="1"/>
  <c r="J20" i="1"/>
  <c r="K20" i="1"/>
  <c r="I9" i="1"/>
  <c r="J9" i="1"/>
  <c r="K9" i="1" s="1"/>
  <c r="L10" i="1"/>
  <c r="L11" i="1"/>
  <c r="L12" i="1"/>
  <c r="L13" i="1"/>
  <c r="L14" i="1"/>
  <c r="L15" i="1"/>
  <c r="L16" i="1"/>
  <c r="L17" i="1"/>
  <c r="L18" i="1"/>
  <c r="I12" i="1"/>
  <c r="E9" i="1"/>
  <c r="K10" i="1"/>
  <c r="K11" i="1"/>
  <c r="K12" i="1"/>
  <c r="K13" i="1"/>
  <c r="K14" i="1"/>
  <c r="K15" i="1"/>
  <c r="K16" i="1"/>
  <c r="K17" i="1"/>
  <c r="K18" i="1"/>
  <c r="J10" i="1"/>
  <c r="J11" i="1"/>
  <c r="J12" i="1"/>
  <c r="J13" i="1"/>
  <c r="J14" i="1"/>
  <c r="J15" i="1"/>
  <c r="J16" i="1"/>
  <c r="J17" i="1"/>
  <c r="J18" i="1"/>
  <c r="I10" i="1"/>
  <c r="I11" i="1"/>
  <c r="I13" i="1"/>
  <c r="I14" i="1"/>
  <c r="I15" i="1"/>
  <c r="I16" i="1"/>
  <c r="I17" i="1"/>
  <c r="I18" i="1"/>
  <c r="E10" i="1"/>
  <c r="E11" i="1"/>
  <c r="E12" i="1"/>
  <c r="E13" i="1"/>
  <c r="E14" i="1"/>
  <c r="E15" i="1"/>
  <c r="E16" i="1"/>
  <c r="E17" i="1"/>
  <c r="E18" i="1"/>
  <c r="H10" i="1"/>
  <c r="H11" i="1"/>
  <c r="H12" i="1"/>
  <c r="H13" i="1"/>
  <c r="H14" i="1"/>
  <c r="H15" i="1"/>
  <c r="H16" i="1"/>
  <c r="H17" i="1"/>
  <c r="H18" i="1"/>
  <c r="H9" i="1"/>
  <c r="G10" i="1"/>
  <c r="G11" i="1"/>
  <c r="G12" i="1"/>
  <c r="G13" i="1"/>
  <c r="G14" i="1"/>
  <c r="G15" i="1"/>
  <c r="G16" i="1"/>
  <c r="G17" i="1"/>
  <c r="G18" i="1"/>
  <c r="G9" i="1"/>
  <c r="F10" i="1"/>
  <c r="F11" i="1"/>
  <c r="F12" i="1"/>
  <c r="F13" i="1"/>
  <c r="F14" i="1"/>
  <c r="F15" i="1"/>
  <c r="F16" i="1"/>
  <c r="F17" i="1"/>
  <c r="F18" i="1"/>
  <c r="F9" i="1"/>
  <c r="D20" i="1"/>
  <c r="L9" i="1" l="1"/>
  <c r="L20" i="1"/>
</calcChain>
</file>

<file path=xl/sharedStrings.xml><?xml version="1.0" encoding="utf-8"?>
<sst xmlns="http://schemas.openxmlformats.org/spreadsheetml/2006/main" count="63" uniqueCount="59">
  <si>
    <t>(STEP BY STEM INSTRUCTIONS)</t>
  </si>
  <si>
    <t>BLESSED COMPANY</t>
  </si>
  <si>
    <t>August 05, 2025</t>
  </si>
  <si>
    <t>NAME OF EMPLOYEES</t>
  </si>
  <si>
    <t>POSITION</t>
  </si>
  <si>
    <t>MO. SALARY</t>
  </si>
  <si>
    <t>W. TAX</t>
  </si>
  <si>
    <t>SSS</t>
  </si>
  <si>
    <t>PHEALTH</t>
  </si>
  <si>
    <t>TOTAL</t>
  </si>
  <si>
    <t>LOAN</t>
  </si>
  <si>
    <t>DEDUCTIONS</t>
  </si>
  <si>
    <t xml:space="preserve">NET </t>
  </si>
  <si>
    <t>SALARY</t>
  </si>
  <si>
    <t>NO.</t>
  </si>
  <si>
    <t>Remarks</t>
  </si>
  <si>
    <t>Lesson #6</t>
  </si>
  <si>
    <t>Enter your Company Name and date</t>
  </si>
  <si>
    <t>Enter the Monthly Salary</t>
  </si>
  <si>
    <t>With Holding Tax</t>
  </si>
  <si>
    <t>CONDITIONS:</t>
  </si>
  <si>
    <t>if Monthly Salary is less than or equal 5,000 8%</t>
  </si>
  <si>
    <t>CEO</t>
  </si>
  <si>
    <t>COO</t>
  </si>
  <si>
    <t>DRIVER</t>
  </si>
  <si>
    <t>SECREATARY</t>
  </si>
  <si>
    <t>MANAGER</t>
  </si>
  <si>
    <t>JANITOR</t>
  </si>
  <si>
    <t>GUARD</t>
  </si>
  <si>
    <t>EDIT IN CHIEF</t>
  </si>
  <si>
    <t>DEPT. MANAGER</t>
  </si>
  <si>
    <t>ALLEAH</t>
  </si>
  <si>
    <t>LIEN</t>
  </si>
  <si>
    <t>SANDRED</t>
  </si>
  <si>
    <t>ATHENA</t>
  </si>
  <si>
    <t>NICOLE</t>
  </si>
  <si>
    <t>YESHA</t>
  </si>
  <si>
    <t>TERENCE</t>
  </si>
  <si>
    <t>HANNAH</t>
  </si>
  <si>
    <t>PATRICK</t>
  </si>
  <si>
    <t>if Monthly Salary is less than or equal 7,000 8.5%</t>
  </si>
  <si>
    <t>if Monthly Salary is less than or equal 9,000 9%</t>
  </si>
  <si>
    <t>if Monthly Salary is less than or equal 11,000 9.5%</t>
  </si>
  <si>
    <t>if Monthly Salary is less than or equal 13,000 11%</t>
  </si>
  <si>
    <t>REMARKS:</t>
  </si>
  <si>
    <t>IF NET SALARY IS:</t>
  </si>
  <si>
    <t>&lt;=3000, "SMALL TIME"</t>
  </si>
  <si>
    <t>&lt;=4000, "PWEDE NA RIN"</t>
  </si>
  <si>
    <t>&lt;=5000, "OK NA TO"</t>
  </si>
  <si>
    <t>SSS is 7% of Monthly Salary</t>
  </si>
  <si>
    <t>PHILHEATH is 35% of Monthly Salary</t>
  </si>
  <si>
    <t>Net Salary = sum (Monthly Salary - Total Dedcution)</t>
  </si>
  <si>
    <t>Total Loan = sum (Monthly Salary*5)</t>
  </si>
  <si>
    <t>Loan Deduction = sum (Total loan/24)</t>
  </si>
  <si>
    <t>Total Dedcution = sum (TAX+SSS+PHILHEALTH)</t>
  </si>
  <si>
    <t>&gt;=7000, "BIG TIME"</t>
  </si>
  <si>
    <t>SANDY</t>
  </si>
  <si>
    <t>DOCTOR</t>
  </si>
  <si>
    <t>&gt;=6000, "MAS OKAY NA 'TO"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</si>
</sst>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₱&quot;* #,##0.00_-;\-&quot;₱&quot;* #,##0.00_-;_-&quot;₱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D6B8-917D-4B94-A27F-A9D7497FC8D1}">
  <dimension ref="A1:L34"/>
  <sheetViews>
    <sheetView tabSelected="1" topLeftCell="B12" zoomScale="116" workbookViewId="0">
      <selection activeCell="D20" sqref="D20"/>
    </sheetView>
  </sheetViews>
  <sheetFormatPr defaultRowHeight="15" x14ac:dyDescent="0.25"/>
  <cols>
    <col min="1" max="1" width="9.28515625" bestFit="1" customWidth="1"/>
    <col min="2" max="2" width="20.42578125" customWidth="1"/>
    <col min="3" max="3" width="14.85546875" customWidth="1"/>
    <col min="4" max="5" width="13.5703125" customWidth="1"/>
    <col min="6" max="6" width="12.28515625" customWidth="1"/>
    <col min="7" max="7" width="12.28515625" bestFit="1" customWidth="1"/>
    <col min="8" max="8" width="15.85546875" customWidth="1"/>
    <col min="9" max="9" width="11.42578125" customWidth="1"/>
    <col min="10" max="10" width="11.140625" customWidth="1"/>
    <col min="11" max="11" width="12.5703125" customWidth="1"/>
    <col min="12" max="12" width="15.28515625" customWidth="1"/>
  </cols>
  <sheetData>
    <row r="1" spans="1:12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6" spans="1:12" x14ac:dyDescent="0.25">
      <c r="A6" s="3" t="s">
        <v>14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9</v>
      </c>
      <c r="K6" s="3" t="s">
        <v>12</v>
      </c>
      <c r="L6" s="3" t="s">
        <v>15</v>
      </c>
    </row>
    <row r="7" spans="1:12" x14ac:dyDescent="0.25">
      <c r="A7" s="3"/>
      <c r="B7" s="3"/>
      <c r="C7" s="3"/>
      <c r="D7" s="3"/>
      <c r="E7" s="3"/>
      <c r="F7" s="3"/>
      <c r="G7" s="3"/>
      <c r="H7" s="3" t="s">
        <v>10</v>
      </c>
      <c r="I7" s="3" t="s">
        <v>11</v>
      </c>
      <c r="J7" s="3" t="s">
        <v>11</v>
      </c>
      <c r="K7" s="3" t="s">
        <v>13</v>
      </c>
      <c r="L7" s="3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3">
        <v>1</v>
      </c>
      <c r="B9" s="3" t="s">
        <v>31</v>
      </c>
      <c r="C9" s="3" t="s">
        <v>22</v>
      </c>
      <c r="D9" s="4">
        <v>13000</v>
      </c>
      <c r="E9" s="4">
        <f>IF(D9&lt;=5000, D9*8%, IF(D9&lt;=7000, D9*8.5%, IF(D9&lt;=9000, D9*9%, IF(D9&lt;=11000, D9*9.5%, IF(D9&lt;=13000, D9*11%)))))</f>
        <v>1430</v>
      </c>
      <c r="F9" s="4">
        <f>D9*7%</f>
        <v>910.00000000000011</v>
      </c>
      <c r="G9" s="4">
        <f>D9*35%</f>
        <v>4550</v>
      </c>
      <c r="H9" s="4">
        <f>SUM(D9*5)</f>
        <v>65000</v>
      </c>
      <c r="I9" s="4">
        <f>SUM(H9/24)</f>
        <v>2708.3333333333335</v>
      </c>
      <c r="J9" s="4">
        <f>SUM(E9+F9+G9)</f>
        <v>6890</v>
      </c>
      <c r="K9" s="4">
        <f>SUM(D9-J9)</f>
        <v>6110</v>
      </c>
      <c r="L9" s="3" t="str">
        <f>IF(K9&lt;=3000,"SMALL TIME",IF(K9&lt;=4000,"PWEDE NA RIN",IF(K9&lt;=5000,"OK NA TO",IF(K9&lt;=6000,"MAS OK NA TO",IF(K9&lt;=7000,"BIG TIME")))))</f>
        <v>BIG TIME</v>
      </c>
    </row>
    <row r="10" spans="1:12" x14ac:dyDescent="0.25">
      <c r="A10" s="3">
        <v>2</v>
      </c>
      <c r="B10" s="3" t="s">
        <v>32</v>
      </c>
      <c r="C10" s="3" t="s">
        <v>23</v>
      </c>
      <c r="D10" s="4">
        <v>7000</v>
      </c>
      <c r="E10" s="4">
        <f t="shared" ref="E10:E18" si="0">IF(D10&lt;=5000, D10*8%, IF(D10&lt;=7000, D10*8.5%, IF(D10&lt;=9000, D10*9%, IF(D10&lt;=11000, D10*9.5%, IF(D10&lt;=13000, D10*11%)))))</f>
        <v>595</v>
      </c>
      <c r="F10" s="4">
        <f t="shared" ref="F10:F18" si="1">D10*7%</f>
        <v>490.00000000000006</v>
      </c>
      <c r="G10" s="4">
        <f t="shared" ref="G10:G18" si="2">D10*35%</f>
        <v>2450</v>
      </c>
      <c r="H10" s="4">
        <f t="shared" ref="H10:H18" si="3">SUM(D10*5)</f>
        <v>35000</v>
      </c>
      <c r="I10" s="4">
        <f t="shared" ref="I10:I18" si="4">SUM(H10/24)</f>
        <v>1458.3333333333333</v>
      </c>
      <c r="J10" s="4">
        <f t="shared" ref="J10:J18" si="5">SUM(E10+F10+G10)</f>
        <v>3535</v>
      </c>
      <c r="K10" s="4">
        <f t="shared" ref="K10:K18" si="6">SUM(D10-J10)</f>
        <v>3465</v>
      </c>
      <c r="L10" s="3" t="str">
        <f t="shared" ref="L10:L18" si="7">IF(K10&lt;=3000,"SMALL TIME",IF(K10&lt;=4000,"PWEDE NA RIN",IF(K10&lt;=5000,"OK NA TO",IF(K10&lt;=6000,"MAS OK NA TO",IF(K10&lt;=7000,"BIG TIME")))))</f>
        <v>PWEDE NA RIN</v>
      </c>
    </row>
    <row r="11" spans="1:12" x14ac:dyDescent="0.25">
      <c r="A11" s="3">
        <v>3</v>
      </c>
      <c r="B11" s="3" t="s">
        <v>33</v>
      </c>
      <c r="C11" s="3" t="s">
        <v>24</v>
      </c>
      <c r="D11" s="4">
        <v>7000</v>
      </c>
      <c r="E11" s="4">
        <f t="shared" si="0"/>
        <v>595</v>
      </c>
      <c r="F11" s="4">
        <f t="shared" si="1"/>
        <v>490.00000000000006</v>
      </c>
      <c r="G11" s="4">
        <f t="shared" si="2"/>
        <v>2450</v>
      </c>
      <c r="H11" s="4">
        <f t="shared" si="3"/>
        <v>35000</v>
      </c>
      <c r="I11" s="4">
        <f t="shared" si="4"/>
        <v>1458.3333333333333</v>
      </c>
      <c r="J11" s="4">
        <f t="shared" si="5"/>
        <v>3535</v>
      </c>
      <c r="K11" s="4">
        <f t="shared" si="6"/>
        <v>3465</v>
      </c>
      <c r="L11" s="3" t="str">
        <f t="shared" si="7"/>
        <v>PWEDE NA RIN</v>
      </c>
    </row>
    <row r="12" spans="1:12" x14ac:dyDescent="0.25">
      <c r="A12" s="3">
        <v>4</v>
      </c>
      <c r="B12" s="3" t="s">
        <v>35</v>
      </c>
      <c r="C12" s="3" t="s">
        <v>25</v>
      </c>
      <c r="D12" s="4">
        <v>11000</v>
      </c>
      <c r="E12" s="4">
        <f t="shared" si="0"/>
        <v>1045</v>
      </c>
      <c r="F12" s="4">
        <f t="shared" si="1"/>
        <v>770.00000000000011</v>
      </c>
      <c r="G12" s="4">
        <f t="shared" si="2"/>
        <v>3849.9999999999995</v>
      </c>
      <c r="H12" s="4">
        <f t="shared" si="3"/>
        <v>55000</v>
      </c>
      <c r="I12" s="4">
        <f>SUM(H12/24)</f>
        <v>2291.6666666666665</v>
      </c>
      <c r="J12" s="4">
        <f t="shared" si="5"/>
        <v>5665</v>
      </c>
      <c r="K12" s="4">
        <f t="shared" si="6"/>
        <v>5335</v>
      </c>
      <c r="L12" s="3" t="str">
        <f t="shared" si="7"/>
        <v>MAS OK NA TO</v>
      </c>
    </row>
    <row r="13" spans="1:12" x14ac:dyDescent="0.25">
      <c r="A13" s="3">
        <v>5</v>
      </c>
      <c r="B13" s="3" t="s">
        <v>36</v>
      </c>
      <c r="C13" s="3" t="s">
        <v>26</v>
      </c>
      <c r="D13" s="4">
        <v>7000</v>
      </c>
      <c r="E13" s="4">
        <f t="shared" si="0"/>
        <v>595</v>
      </c>
      <c r="F13" s="4">
        <f t="shared" si="1"/>
        <v>490.00000000000006</v>
      </c>
      <c r="G13" s="4">
        <f t="shared" si="2"/>
        <v>2450</v>
      </c>
      <c r="H13" s="4">
        <f t="shared" si="3"/>
        <v>35000</v>
      </c>
      <c r="I13" s="4">
        <f t="shared" si="4"/>
        <v>1458.3333333333333</v>
      </c>
      <c r="J13" s="4">
        <f t="shared" si="5"/>
        <v>3535</v>
      </c>
      <c r="K13" s="4">
        <f t="shared" si="6"/>
        <v>3465</v>
      </c>
      <c r="L13" s="3" t="str">
        <f t="shared" si="7"/>
        <v>PWEDE NA RIN</v>
      </c>
    </row>
    <row r="14" spans="1:12" x14ac:dyDescent="0.25">
      <c r="A14" s="3">
        <v>6</v>
      </c>
      <c r="B14" s="3" t="s">
        <v>56</v>
      </c>
      <c r="C14" s="3" t="s">
        <v>57</v>
      </c>
      <c r="D14" s="4">
        <v>9000</v>
      </c>
      <c r="E14" s="4">
        <f t="shared" si="0"/>
        <v>810</v>
      </c>
      <c r="F14" s="4">
        <f t="shared" si="1"/>
        <v>630.00000000000011</v>
      </c>
      <c r="G14" s="4">
        <f t="shared" si="2"/>
        <v>3150</v>
      </c>
      <c r="H14" s="4">
        <f t="shared" si="3"/>
        <v>45000</v>
      </c>
      <c r="I14" s="4">
        <f t="shared" si="4"/>
        <v>1875</v>
      </c>
      <c r="J14" s="4">
        <f t="shared" si="5"/>
        <v>4590</v>
      </c>
      <c r="K14" s="4">
        <f t="shared" si="6"/>
        <v>4410</v>
      </c>
      <c r="L14" s="3" t="str">
        <f t="shared" si="7"/>
        <v>OK NA TO</v>
      </c>
    </row>
    <row r="15" spans="1:12" x14ac:dyDescent="0.25">
      <c r="A15" s="3">
        <v>7</v>
      </c>
      <c r="B15" s="3" t="s">
        <v>37</v>
      </c>
      <c r="C15" s="3" t="s">
        <v>28</v>
      </c>
      <c r="D15" s="4">
        <v>5000</v>
      </c>
      <c r="E15" s="4">
        <f t="shared" si="0"/>
        <v>400</v>
      </c>
      <c r="F15" s="4">
        <f t="shared" si="1"/>
        <v>350.00000000000006</v>
      </c>
      <c r="G15" s="4">
        <f t="shared" si="2"/>
        <v>1750</v>
      </c>
      <c r="H15" s="4">
        <f t="shared" si="3"/>
        <v>25000</v>
      </c>
      <c r="I15" s="4">
        <f t="shared" si="4"/>
        <v>1041.6666666666667</v>
      </c>
      <c r="J15" s="4">
        <f t="shared" si="5"/>
        <v>2500</v>
      </c>
      <c r="K15" s="4">
        <f t="shared" si="6"/>
        <v>2500</v>
      </c>
      <c r="L15" s="3" t="str">
        <f t="shared" si="7"/>
        <v>SMALL TIME</v>
      </c>
    </row>
    <row r="16" spans="1:12" x14ac:dyDescent="0.25">
      <c r="A16" s="3">
        <v>8</v>
      </c>
      <c r="B16" s="3" t="s">
        <v>34</v>
      </c>
      <c r="C16" s="3" t="s">
        <v>27</v>
      </c>
      <c r="D16" s="4">
        <v>7000</v>
      </c>
      <c r="E16" s="4">
        <f t="shared" si="0"/>
        <v>595</v>
      </c>
      <c r="F16" s="4">
        <f t="shared" si="1"/>
        <v>490.00000000000006</v>
      </c>
      <c r="G16" s="4">
        <f t="shared" si="2"/>
        <v>2450</v>
      </c>
      <c r="H16" s="4">
        <f t="shared" si="3"/>
        <v>35000</v>
      </c>
      <c r="I16" s="4">
        <f t="shared" si="4"/>
        <v>1458.3333333333333</v>
      </c>
      <c r="J16" s="4">
        <f t="shared" si="5"/>
        <v>3535</v>
      </c>
      <c r="K16" s="4">
        <f t="shared" si="6"/>
        <v>3465</v>
      </c>
      <c r="L16" s="3" t="str">
        <f t="shared" si="7"/>
        <v>PWEDE NA RIN</v>
      </c>
    </row>
    <row r="17" spans="1:12" x14ac:dyDescent="0.25">
      <c r="A17" s="3">
        <v>9</v>
      </c>
      <c r="B17" s="3" t="s">
        <v>38</v>
      </c>
      <c r="C17" s="3" t="s">
        <v>29</v>
      </c>
      <c r="D17" s="4">
        <v>7000</v>
      </c>
      <c r="E17" s="4">
        <f t="shared" si="0"/>
        <v>595</v>
      </c>
      <c r="F17" s="4">
        <f t="shared" si="1"/>
        <v>490.00000000000006</v>
      </c>
      <c r="G17" s="4">
        <f t="shared" si="2"/>
        <v>2450</v>
      </c>
      <c r="H17" s="4">
        <f t="shared" si="3"/>
        <v>35000</v>
      </c>
      <c r="I17" s="4">
        <f t="shared" si="4"/>
        <v>1458.3333333333333</v>
      </c>
      <c r="J17" s="4">
        <f t="shared" si="5"/>
        <v>3535</v>
      </c>
      <c r="K17" s="4">
        <f t="shared" si="6"/>
        <v>3465</v>
      </c>
      <c r="L17" s="3" t="str">
        <f t="shared" si="7"/>
        <v>PWEDE NA RIN</v>
      </c>
    </row>
    <row r="18" spans="1:12" x14ac:dyDescent="0.25">
      <c r="A18" s="3">
        <v>10</v>
      </c>
      <c r="B18" s="3" t="s">
        <v>39</v>
      </c>
      <c r="C18" s="3" t="s">
        <v>30</v>
      </c>
      <c r="D18" s="4">
        <v>7000</v>
      </c>
      <c r="E18" s="4">
        <f t="shared" si="0"/>
        <v>595</v>
      </c>
      <c r="F18" s="4">
        <f t="shared" si="1"/>
        <v>490.00000000000006</v>
      </c>
      <c r="G18" s="4">
        <f t="shared" si="2"/>
        <v>2450</v>
      </c>
      <c r="H18" s="4">
        <f t="shared" si="3"/>
        <v>35000</v>
      </c>
      <c r="I18" s="4">
        <f t="shared" si="4"/>
        <v>1458.3333333333333</v>
      </c>
      <c r="J18" s="4">
        <f t="shared" si="5"/>
        <v>3535</v>
      </c>
      <c r="K18" s="4">
        <f t="shared" si="6"/>
        <v>3465</v>
      </c>
      <c r="L18" s="3" t="str">
        <f t="shared" si="7"/>
        <v>PWEDE NA RIN</v>
      </c>
    </row>
    <row r="20" spans="1:12" x14ac:dyDescent="0.25">
      <c r="B20" t="s">
        <v>9</v>
      </c>
      <c r="D20" s="4">
        <f>SUM(D9:D18)</f>
        <v>80000</v>
      </c>
      <c r="E20" s="4">
        <f t="shared" ref="E20:K20" si="8">SUM(E9:E18)</f>
        <v>7255</v>
      </c>
      <c r="F20" s="4">
        <f t="shared" si="8"/>
        <v>5600.0000000000009</v>
      </c>
      <c r="G20" s="4">
        <f t="shared" si="8"/>
        <v>28000</v>
      </c>
      <c r="H20" s="4">
        <f t="shared" si="8"/>
        <v>400000</v>
      </c>
      <c r="I20" s="4">
        <f t="shared" si="8"/>
        <v>16666.666666666668</v>
      </c>
      <c r="J20" s="4">
        <f t="shared" si="8"/>
        <v>40855</v>
      </c>
      <c r="K20" s="4">
        <f t="shared" si="8"/>
        <v>39145</v>
      </c>
      <c r="L20" s="4">
        <f t="shared" ref="L20" si="9">SUM(L9:L18)</f>
        <v>0</v>
      </c>
    </row>
    <row r="22" spans="1:12" x14ac:dyDescent="0.25">
      <c r="A22" t="s">
        <v>16</v>
      </c>
    </row>
    <row r="23" spans="1:12" x14ac:dyDescent="0.25">
      <c r="A23" t="s">
        <v>17</v>
      </c>
      <c r="H23" t="s">
        <v>53</v>
      </c>
    </row>
    <row r="24" spans="1:12" x14ac:dyDescent="0.25">
      <c r="A24" t="s">
        <v>18</v>
      </c>
      <c r="H24" t="s">
        <v>54</v>
      </c>
    </row>
    <row r="25" spans="1:12" x14ac:dyDescent="0.25">
      <c r="A25" t="s">
        <v>19</v>
      </c>
      <c r="H25" t="s">
        <v>51</v>
      </c>
    </row>
    <row r="26" spans="1:12" x14ac:dyDescent="0.25">
      <c r="A26" s="1" t="s">
        <v>20</v>
      </c>
      <c r="E26" t="s">
        <v>44</v>
      </c>
      <c r="I26" s="1"/>
    </row>
    <row r="27" spans="1:12" x14ac:dyDescent="0.25">
      <c r="B27" t="s">
        <v>21</v>
      </c>
    </row>
    <row r="28" spans="1:12" x14ac:dyDescent="0.25">
      <c r="B28" t="s">
        <v>40</v>
      </c>
      <c r="E28" t="s">
        <v>45</v>
      </c>
    </row>
    <row r="29" spans="1:12" x14ac:dyDescent="0.25">
      <c r="B29" t="s">
        <v>41</v>
      </c>
    </row>
    <row r="30" spans="1:12" x14ac:dyDescent="0.25">
      <c r="B30" t="s">
        <v>42</v>
      </c>
      <c r="E30" t="s">
        <v>46</v>
      </c>
    </row>
    <row r="31" spans="1:12" x14ac:dyDescent="0.25">
      <c r="B31" t="s">
        <v>43</v>
      </c>
      <c r="E31" t="s">
        <v>47</v>
      </c>
    </row>
    <row r="32" spans="1:12" x14ac:dyDescent="0.25">
      <c r="A32" t="s">
        <v>49</v>
      </c>
      <c r="E32" t="s">
        <v>48</v>
      </c>
    </row>
    <row r="33" spans="1:5" x14ac:dyDescent="0.25">
      <c r="A33" t="s">
        <v>50</v>
      </c>
      <c r="E33" t="s">
        <v>58</v>
      </c>
    </row>
    <row r="34" spans="1:5" x14ac:dyDescent="0.25">
      <c r="A34" t="s">
        <v>52</v>
      </c>
      <c r="E34" t="s">
        <v>55</v>
      </c>
    </row>
  </sheetData>
  <mergeCells count="3">
    <mergeCell ref="A1:L1"/>
    <mergeCell ref="A2:L2"/>
    <mergeCell ref="A3:L3"/>
  </mergeCells>
  <pageMargins left="0.7" right="0.7" top="0.75" bottom="0.75" header="0.3" footer="0.3"/>
  <pageSetup paperSize="5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Alleah Mejeco</dc:creator>
  <cp:lastModifiedBy>Alleah Mejeco</cp:lastModifiedBy>
  <cp:lastPrinted>2025-08-12T06:05:21Z</cp:lastPrinted>
  <dcterms:created xsi:type="dcterms:W3CDTF">2025-08-05T05:00:32Z</dcterms:created>
  <dcterms:modified xsi:type="dcterms:W3CDTF">2025-09-16T11:54:12Z</dcterms:modified>
</cp:coreProperties>
</file>